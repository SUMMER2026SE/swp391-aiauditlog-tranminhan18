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28D559D2-D874-4725-B2EA-C08184DBECCD}" xr6:coauthVersionLast="47" xr6:coauthVersionMax="47" xr10:uidLastSave="{00000000-0000-0000-0000-000000000000}"/>
  <bookViews>
    <workbookView xWindow="-110" yWindow="-110" windowWidth="19420" windowHeight="11500" firstSheet="1"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1" l="1"/>
</calcChain>
</file>

<file path=xl/sharedStrings.xml><?xml version="1.0" encoding="utf-8"?>
<sst xmlns="http://schemas.openxmlformats.org/spreadsheetml/2006/main" count="220" uniqueCount="194">
  <si>
    <t>AI AUDIT LOG - METADATA &amp; SUMMARY</t>
  </si>
  <si>
    <t>STUDENT INFORMATION</t>
  </si>
  <si>
    <t>Student Name:</t>
  </si>
  <si>
    <t>Trần Minh An</t>
  </si>
  <si>
    <t>Student ID:</t>
  </si>
  <si>
    <t>DE190275</t>
  </si>
  <si>
    <t>Course:</t>
  </si>
  <si>
    <t>Assignment/Feature:</t>
  </si>
  <si>
    <t>AI USAGE SUMMARY</t>
  </si>
  <si>
    <t>Total AI Interactions (all tools):</t>
  </si>
  <si>
    <t>Core Prompts Logged (Sheet 2):</t>
  </si>
  <si>
    <t>Selection Ratio (Core / Total):</t>
  </si>
  <si>
    <t>Hallucinations Detected:</t>
  </si>
  <si>
    <t>AI TOOL USAGE</t>
  </si>
  <si>
    <t>AI Tool</t>
  </si>
  <si>
    <t>Purpose</t>
  </si>
  <si>
    <t>Frequency</t>
  </si>
  <si>
    <t>Contribution</t>
  </si>
  <si>
    <t>Claude (Sonnet)</t>
  </si>
  <si>
    <t>Hỗ trợ thiết kế Package Diagram Backend/Frontend (phân tầng Controller-Service-Repository, cấu trúc Next.js App Router), soạn bảng UI Design, Database Access (CRUD) và SQL Commands cho từng màn hình trong mục Design Specifications</t>
  </si>
  <si>
    <t>Thường xuyên (15 lần)</t>
  </si>
  <si>
    <t>Hỗ trợ phân chia package hợp lý, phát hiện SQL Commands dùng sai cú pháp GETDATE() (SQL Server) thay vì NOW() (PostgreSQL), phát hiện mismatch tên cột giữa Design Specification và Database Schema</t>
  </si>
  <si>
    <t>GitHub Copilot</t>
  </si>
  <si>
    <t>Tra cứu quy ước đặt tên package chuẩn Spring Boot (Controller/Service/Repository/DTO/Mapper) và cấu trúc thư mục Next.js App Router</t>
  </si>
  <si>
    <t>Ít dùng (6 lần)</t>
  </si>
  <si>
    <t>Tổng hợp nhanh convention đặt tên package/thư mục tham khảo</t>
  </si>
  <si>
    <t>DTC COMPONENT DISTRIBUTION</t>
  </si>
  <si>
    <t>DTC Component</t>
  </si>
  <si>
    <t>Number of Prompts</t>
  </si>
  <si>
    <t>Required (Min)</t>
  </si>
  <si>
    <t>Status</t>
  </si>
  <si>
    <t>Decomposition</t>
  </si>
  <si>
    <t>Đạt</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</si>
  <si>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</si>
  <si>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</si>
  <si>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</si>
  <si>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</si>
  <si>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</si>
  <si>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</si>
  <si>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</si>
  <si>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</si>
  <si>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</si>
  <si>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</si>
  <si>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</si>
  <si>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</si>
  <si>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</si>
  <si>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PROBLEM-SOLVING</t>
  </si>
  <si>
    <t>Decomposition
(Backend Package Diagram)</t>
  </si>
  <si>
    <t>Backend gồm hơn 25 package con (API Gateway, Security, Admin Service, SportVenue Core, Model, External Services...). Cần quyết định nhóm các package này thành bao nhiêu package cha để sơ đồ Package Diagram vừa đủ chi tiết, vừa dễ đọc, không rối.</t>
  </si>
  <si>
    <t>Backend Spring Boot của SportsBook có các thành phần: API Gateway/Security filters, Admin Service (Controller/Config), SportVenue Core (BLL: Controller/Interface/Service/DTO/Mapper/Util, DAL: JPA Repository/DataSeeder/Flyway), Model (Entity/Enum), External Services (Redis/Goong Map/VNPay-MoMo/SMTP). Nên gom thành bao nhiêu package cha cấp cao nhất trong Package Diagram để thể hiện rõ kiến trúc phân tầng mà không quá chi tiết?</t>
  </si>
  <si>
    <t>AI đề xuất gom thành 5 package cha cấp cao nhất: (1) API Gateway &amp; Security, (2) Admin Service, (3) SportVenue Core (chứa BLL + DAL bên trong như sub-package), (4) Model, (5) External Services. Mỗi package cha thể hiện quan hệ phụ thuộc (dependency arrow) theo hướng: Controller → Service → Repository → Model, và tất cả phụ thuộc vào External Services khi cần.</t>
  </si>
  <si>
    <t>Critical Thinking: Cách gom 5 package cha hợp lý và khớp với Layered Architecture (Presentation → Business → Data → Model), nhưng AI gộp cả BLL và DAL vào chung 1 package 'SportVenue Core' làm sơ đồ hơi rối vì 2 tầng này có trách nhiệm rất khác nhau.
Contextualization: Trong tài liệu SRS mục 3.2, BLL và DAL đã được liệt kê là 2 khối riêng biệt (Business Logic Layer, Data Access Layer) — nên giữ tách biệt trên sơ đồ để giảng viên dễ chấm đúng kiến trúc 3 lớp.
Creative Synthesis: Giữ 5 nhóm nhưng tách SportVenue Core thành 2 package con hiển thị rõ trên diagram: BLL (Business Logic Layer) và DAL (Data Access Layer), có dependency arrow BLL → DAL.
Decision Ownership: Chốt sơ đồ Package Diagram Backend có 6 package cấp cao: API Gateway &amp; Security, Admin Service, BLL, DAL, Model, External Services.</t>
  </si>
  <si>
    <t>SRS mục I.3.2.a — Package Backend Diagram
Bảng mô tả package #01–#28</t>
  </si>
  <si>
    <t>DECISION-MAKING</t>
  </si>
  <si>
    <t>Abstraction
(Tách BLL.Interface khỏi BLL.Service)</t>
  </si>
  <si>
    <t>Trong bảng mô tả package (#12 BLL.Interface, #13 BLL.Service), cần quyết định có nên tách riêng package Interface (contract) khỏi package Service (implementation) hay gộp chung, vì đây là quyết định thiết kế ảnh hưởng đến toàn bộ cách trình bày Package Diagram.</t>
  </si>
  <si>
    <t>Với project SWP391 quy mô sinh viên, có bắt buộc phải tách BLL.Interface (StadiumService interface) riêng khỏi BLL.Service (StadiumServiceImpl) không, hay gộp chung 1 package cho đơn giản? Lợi ích thực sự của việc tách là gì trong bối cảnh dự án này?</t>
  </si>
  <si>
    <t>AI khẳng định tách Interface riêng khỏi Service là bắt buộc theo 'chuẩn kiến trúc Spring Boot chính thức' và mọi dự án Spring Boot đúng chuẩn đều phải có package interface riêng để đảm bảo Dependency Injection hoạt động.</t>
  </si>
  <si>
    <t>Critical Thinking: Đây là một khẳng định quá tuyệt đối — Spring Boot/Spring Framework hỗ trợ Dependency Injection dựa trên interface NHƯNG không hề bắt buộc phải tách package riêng; nhiều dự án thực tế (kể cả production) vẫn để interface và implementation cùng package, DI vẫn hoạt động bình thường qua @Autowired trên interface type.
Contextualization: Không có 'chuẩn kiến trúc Spring Boot chính thức' nào quy định việc này — đây là convention tùy team, thường dùng để tách biệt module lớn (multi-module) hoặc khi cần định nghĩa nhiều implementation cho cùng 1 interface, không phải yêu cầu bắt buộc của framework.
Creative Synthesis: Vẫn giữ tách BLL.Interface và BLL.Service như bảng mô tả gốc trong SRS — không phải vì 'bắt buộc' mà vì lý do thực tế: dễ đọc code, dễ mock trong unit test, và đã được thống nhất trong convention của nhóm từ đầu project.
Decision Ownership: Giữ nguyên 2 package tách biệt, nhưng ghi chú lại lý do đúng (convention nhóm + dễ test) thay vì lý do sai AI đưa ra (bắt buộc theo chuẩn Spring Boot).</t>
  </si>
  <si>
    <t>SRS mục I.3.2.a — package #12 BLL.Interface, #13 BLL.Service
Ghi chú corrective trong Sheet 3, Entry #2 (hallucination)</t>
  </si>
  <si>
    <t>VERIFICATION</t>
  </si>
  <si>
    <t>Pattern Recognition
(Frontend Package Diagram theo Next.js App Router)</t>
  </si>
  <si>
    <t>Frontend Package Diagram liệt kê app/, app/(auth), app/admin, app/owner, components/, hooks/, lib/, types/ cùng các thư viện (tailwindcss, shadcn/ui, axios, next-auth, react-hook-form+zod, zustand, leaflet, socket.io-client). Cần xác minh cấu trúc này có đúng convention Next.js App Router hay có phần đặt sai vị trí.</t>
  </si>
  <si>
    <t>Cấu trúc package Frontend liệt kê route group app/(auth) cho auth, app/admin và app/owner là route group riêng cho từng role. Đối chiếu với convention chuẩn của Next.js App Router (Next.js 14), cấu trúc này có điểm nào chưa hợp lý, ví dụ về việc dùng route group ngoặc đơn () hay phân quyền qua middleware?</t>
  </si>
  <si>
    <t>AI xác nhận app/(auth) đúng convention route group (dùng ngoặc đơn để nhóm route không ảnh hưởng URL path). Với app/admin và app/owner, AI lưu ý đây là route thường (không phải route group) vì có xuất hiện trong URL — điều này đúng vì /admin và /owner là những segment cần phân quyền qua middleware.ts, khác với (auth) chỉ để tổ chức code mà không đổi URL.</t>
  </si>
  <si>
    <t>Critical Thinking: AI phân tích đúng và chỉ ra sự khác biệt quan trọng giữa route group (auth) và route thường admin/owner mà bảng mô tả gốc trong SRS gọi chung là 'Route group' cho cả 2 loại — đây là điểm cần làm rõ hơn khi trình bày.
Contextualization: Việc phân biệt đúng route group vs route thường quan trọng khi review đề tài, vì giảng viên có thể hỏi tại sao /admin xuất hiện trên URL còn (auth) thì không.
Creative Synthesis: Sửa lại chú thích trong bảng mô tả package Frontend: app/(auth) = 'Route group (không ảnh hưởng URL)', app/admin và app/owner = 'Route segment kèm middleware phân quyền theo role'.
Decision Ownership: Cập nhật chú thích Package Diagram Frontend để phân biệt rõ 2 khái niệm, tránh gây hiểu nhầm khi bảo vệ đồ án.</t>
  </si>
  <si>
    <t>SRS mục I.3.2.b — Package Frontend Diagram, dòng #02–#04
middleware.ts — kiểm tra role trước khi vào /admin, /owner</t>
  </si>
  <si>
    <t>Algorithms
(SQL aggregation cho Dashboard)</t>
  </si>
  <si>
    <t>Mục Design Specifications cho Owner Dashboard và Admin Dashboard cần SQL Command tổng hợp doanh thu theo tháng (group theo tháng trong năm) để vẽ Revenue Chart. Cần viết đúng cú pháp aggregate và GROUP BY tương thích với PostgreSQL.</t>
  </si>
  <si>
    <t>Viết SQL Command lấy doanh thu theo từng tháng trong năm cho Owner Dashboard, join qua payments → bookings → time_slots → stadiums để lọc theo owner_id, chỉ tính payment có status = 'PAID', group theo tháng, sắp xếp tăng dần.</t>
  </si>
  <si>
    <t>AI viết: SELECT EXTRACT(MONTH FROM p.created_at) AS month, SUM(p.amount) FROM payments p JOIN bookings b ON p.booking_id = b.id JOIN time_slots t ON b.time_slot_id = t.id JOIN stadiums s ON t.stadium_id = s.id WHERE s.owner_id = ? AND p.status = 'PAID' AND EXTRACT(YEAR FROM p.created_at) = ? GROUP BY EXTRACT(MONTH FROM p.created_at) ORDER BY month;</t>
  </si>
  <si>
    <t>Critical Thinking: Cú pháp EXTRACT(MONTH FROM ...) và GROUP BY đúng chuẩn PostgreSQL. Tuy nhiên tên cột/bảng AI dùng (bookings.id, bookings.time_slot_id, payments.status, time_slots.id) không khớp với Database Schema đã định nghĩa ở mục 3.1 (khóa chính thực tế là booking_id, slot_id, payment_status, slot_id — không phải 'id' chung chung hay 'time_slot_id').
Contextualization: Đây là lỗi thường gặp khi AI suy luận tên cột theo convention phổ biến (id, status) thay vì đọc đúng schema cụ thể của project — cần đối chiếu lại bảng mô tả 3.1 Database Design trước khi đưa SQL vào Design Specification.
Creative Synthesis: Viết lại SQL đúng theo schema: JOIN bookings b ON p.booking_id = b.booking_id, JOIN time_slots t ON b.slot_id = t.slot_id, JOIN stadiums s ON t.stadium_id = s.stadium_id, WHERE s.owner_id = ? AND p.payment_status = 'PAID'.
Decision Ownership: Chốt quy tắc bắt buộc: mọi SQL Command trong Design Specifications phải đối chiếu tên cột với bảng 3.1 Database Design trước khi đưa vào tài liệu, không dùng tên cột do AI suy đoán.</t>
  </si>
  <si>
    <t>SRS mục 3.1.b — bảng bookings (booking_id, slot_id), payments (payment_id, booking_id, payment_status)
SRS mục III.3.3 — SQL Commands Owner Dashboard (đã sửa tên cột)</t>
  </si>
  <si>
    <t>Decomposition
(Đối chiếu SQL Commands với Database Schema)</t>
  </si>
  <si>
    <t>Design Specifications có hàng chục SQL Command rải rác ở nhiều mục (Register, Login, Profile, Venue Detail, Booking Flow...). Cần một bước kiểm tra tổng thể xem tất cả tên bảng/cột trong các SQL này có nhất quán với Database Schema ở mục 3.1 hay không, vì đây là lỗi dễ bị bỏ sót khi viết tài liệu qua nhiều buổi.</t>
  </si>
  <si>
    <t>Rà soát toàn bộ SQL Commands trong mục Design Specifications (Register, Login, Profile, Booking Flow, Booking History...) và liệt kê những chỗ tên bảng/cột không khớp với Database Schema đã định nghĩa ở mục 3.1 (ví dụ bookings.time_slot_id so với time_slots.slot_id, users.status so với users.account_status).</t>
  </si>
  <si>
    <t>AI liệt kê nhanh các SQL Command và khẳng định toàn bộ tên bảng/cột đều nhất quán với schema 3.1, không phát hiện sai lệch nào cần sửa.</t>
  </si>
  <si>
    <t>Critical Thinking: Đây là kết luận không chính xác — khi tự đối chiếu thủ công, phát hiện ít nhất 4 chỗ lệch: (1) bookings.time_slot_id thay vì slot_id, (2) users.status thay vì account_status, (3) reviews.rating thay ví rating_score, (4) time_slots.status thay vì slot_status ở mục Booking Flow/History.
Contextualization: AI có xu hướng 'xác nhận cho có' khi được hỏi kiểm tra tính nhất quán trên văn bản dài — cần tự đối chiếu từng SQL với bảng schema thay vì tin tưởng hoàn toàn kết luận 'đã khớp' của AI.
Creative Synthesis: Lập bảng đối chiếu thủ công (SQL location → cột sai → cột đúng theo 3.1) và sửa trực tiếp trong Design Specifications: time_slot_id → slot_id, status → account_status/slot_status/payment_status tùy bảng, rating → rating_score.
Decision Ownership: Không tin hoàn toàn kết quả 'không có sai lệch' của AI cho các tác vụ rà soát tài liệu dài; luôn tự đối chiếu chéo bằng cách grep tên cột trong toàn bộ Design Specifications.</t>
  </si>
  <si>
    <t>SRS mục 3.1.b — Database Design (bảng bookings, users, reviews, time_slots)
SRS mục III.5.1, 5.2 — Booking Flow, Booking History (đã sửa tên cột sau rà soát)</t>
  </si>
  <si>
    <t>Pattern Recognition
(Cú pháp SQL nhất quán cho PostgreSQL)</t>
  </si>
  <si>
    <t>Package Diagram mục 3.2 (#17 Data Access Layer) ghi rõ hệ thống dùng PostgreSQL. Tuy nhiên một số SQL Command trong Design Specifications (Add/Edit Venue, Booking Management, Admin Dashboard, Booking Flow) dùng hàm GETDATE() thay vì NOW(). Cần xác minh hàm nào đúng với PostgreSQL.</t>
  </si>
  <si>
    <t>Package Diagram xác nhận Data Access Layer dùng PostgreSQL. Trong SQL Command ở mục Add/Edit Venue tôi viết: INSERT INTO stadiums (...) VALUES (..., GETDATE()). Hàm GETDATE() có chạy được trên PostgreSQL không, hay cần đổi thành hàm khác?</t>
  </si>
  <si>
    <t>AI xác nhận GETDATE() là hàm lấy thời gian hiện tại phổ biến trong SQL và có thể dùng được, không cảnh báo gì thêm về khả năng tương thích với PostgreSQL.</t>
  </si>
  <si>
    <t>Critical Thinking: Đây là hallucination nghiêm trọng — GETDATE() là hàm độc quyền của Microsoft SQL Server/Sybase, KHÔNG tồn tại trong PostgreSQL; chạy trên PostgreSQL sẽ báo lỗi 'function getdate() does not exist'. Hàm tương đương đúng trong PostgreSQL là NOW() hoặc CURRENT_TIMESTAMP.
Contextualization: Mục Register (đã viết ở tuần trước) đã dùng đúng NOW() + INTERVAL — cho thấy có sự KHÔNG nhất quán giữa các phần Design Specifications do được viết ở nhiều thời điểm khác nhau và có lúc dựa theo gợi ý sai của AI.
Creative Synthesis: Rà soát và thay thế toàn bộ GETDATE() bằng NOW() trong các SQL Command ở mục Add/Edit Venue, Booking Management, Owner/Admin Dashboard, Booking Flow, Booking History để đồng bộ với PostgreSQL.
Decision Ownership: Đây được ghi nhận là 1 hallucination (xem Sheet 3, Entry #6) — chốt quy tắc chỉ dùng NOW()/CURRENT_TIMESTAMP cho toàn bộ SQL Command trong tài liệu, không dùng GETDATE().</t>
  </si>
  <si>
    <t>SRS mục I.3.2.a — package #17 Data Access Layer (PostgreSQL)
SRS mục III.3.1, 4.1, 4.2, 5.1 — SQL Commands GETDATE() cần sửa thành NOW()</t>
  </si>
  <si>
    <t>Abstraction
(Thiết kế bảng UI Design)</t>
  </si>
  <si>
    <t>Mỗi màn hình trong Design Specifications cần bảng UI Design (Field Name, Field Type, Description). Cần quyết định mức độ chi tiết: liệt kê từng field UI hay map trực tiếp 1-1 theo cột database, tránh vừa thiếu vừa thừa thông tin không cần thiết cho reviewer.</t>
  </si>
  <si>
    <t>Khi viết bảng UI Design cho từng màn hình (vd Register, Edit Profile), nên liệt kê field theo đúng những gì hiển thị trên UI (kể cả field không lưu trực tiếp vào DB như Confirm Password) hay chỉ liệt kê field tương ứng 1-1 với cột database? Nguyên tắc chung nên là gì?</t>
  </si>
  <si>
    <t>AI đề xuất nguyên tắc: bảng UI Design nên phản ánh đúng những gì người dùng NHÌN THẤY và NHẬP trên form, kể cả các field chỉ dùng để validate ở client (như Confirm Password, Checkbox đồng ý điều khoản) mà không lưu trực tiếp vào DB — vì đây là tài liệu đặc tả giao diện, không phải đặc tả database. Field Type nên ghi rõ loại control (Text-box, Password-box, Choice, Date Picker...) để dev frontend dễ implement.</t>
  </si>
  <si>
    <t>Critical Thinking: Nguyên tắc AI đưa ra hợp lý và đúng mục đích của Design Specification — tách biệt rõ với Database Design ở mục 3.1, tránh trùng lặp thông tin không cần thiết.
Contextualization: Đối chiếu với các bảng UI Design đã có sẵn trong SRS (Register, Login, Edit Profile) cho thấy nhóm đã áp dụng đúng nguyên tắc này từ trước — Confirm Password xuất hiện trong UI Design nhưng không có cột riêng trong bảng users.
Creative Synthesis: Áp dụng nhất quán nguyên tắc này cho các màn hình còn thiếu trong Design Specifications (Booking Flow, Admin Dashboard...): field nào chỉ phục vụ UI/validate thì vẫn liệt kê nhưng ghi chú rõ 'Không lưu trực tiếp vào DB' trong cột Description.
Decision Ownership: Chốt chuẩn trình bày bảng UI Design cho toàn bộ Design Specifications: đủ field hiển thị + ghi chú field nào không map trực tiếp vào DB.</t>
  </si>
  <si>
    <t>SRS mục III.1.1 — bảng UI Design Register Form (Confirm Password)
SRS mục III.1.4 — bảng UI Design Edit Profile Form</t>
  </si>
  <si>
    <t>Algorithms
(Database Access CRUD summary)</t>
  </si>
  <si>
    <t>Mỗi màn hình trong Design Specifications có bảng 'Database Access' tóm tắt CRUD (Create/Read/Update/Delete) theo từng bảng liên quan. Cần quyết định mức độ gộp nhóm: liệt kê CRUD theo từng SQL Command riêng lẻ hay gộp theo bảng tổng quát.</t>
  </si>
  <si>
    <t>Với màn hình Booking Flow có 3 SQL Command tác động lên time_slots (Read + Update) và bookings (Create), payments (Create) — nên trình bày bảng Database Access theo từng thao tác riêng (3-4 dòng) hay gộp theo từng bảng (time_slots: R,U | bookings: C | payments: C) để dễ đọc mà vẫn đủ thông tin?</t>
  </si>
  <si>
    <t>AI đề xuất gộp theo từng bảng (không tách theo từng câu SQL) vì bảng Database Access chỉ nhằm cho reviewer thấy nhanh phạm vi tác động dữ liệu của màn hình, không cần chi tiết bằng SQL Command bên dưới (đã có sẵn) — tránh trùng lặp thông tin giữa 2 bảng.</t>
  </si>
  <si>
    <t>Critical Thinking: Đề xuất hợp lý, giữ đúng tinh thần 'Database Access' là bảng tóm tắt cấp cao, còn 'SQL Commands' mới là chi tiết thực thi — tránh lặp lại thông tin 2 lần gây tài liệu dài dòng.
Contextualization: Đối chiếu với các bảng Database Access đã có trong SRS (Register, Login, Venue Detail) cho thấy format này đã được áp dụng nhất quán từ đầu — gộp theo bảng, không tách theo SQL.
Creative Synthesis: Tiếp tục dùng format gộp theo bảng (Table | CRUD | Description ngắn gọn) cho toàn bộ các màn hình còn lại trong Design Specifications (Booking Flow, Booking History, Match Request).
Decision Ownership: Chốt chuẩn trình bày bảng Database Access: luôn gộp theo tên bảng, không tách theo từng câu SQL, đảm bảo nhất quán trong toàn bộ tài liệu.</t>
  </si>
  <si>
    <t>SRS mục III.5.1 — Booking Flow, bảng Database Access (time_slots R,U | bookings C | payments C)</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</si>
  <si>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</si>
  <si>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</si>
  <si>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</si>
  <si>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</si>
  <si>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</si>
  <si>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</si>
  <si>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</si>
  <si>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</si>
  <si>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</si>
  <si>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AI khẳng định việc tách package Interface riêng khỏi Service là 'bắt buộc theo chuẩn kiến trúc Spring Boot chính thức' và mọi dự án Spring Boot đúng chuẩn đều phải làm vậy để Dependency Injection hoạt động.</t>
  </si>
  <si>
    <t>Không có 'chuẩn Spring Boot chính thức' nào bắt buộc việc này. Spring hỗ trợ DI qua interface nhưng không yêu cầu tách package riêng — nhiều dự án production vẫn để interface và implementation cùng package mà DI vẫn hoạt động bình thường.</t>
  </si>
  <si>
    <t>Tra cứu tài liệu chính thức Spring Framework (Dependency Injection, Bean wiring) — không tìm thấy bất kỳ ràng buộc nào về việc phải tách package interface/service; đây chỉ là convention tùy chọn của từng team.</t>
  </si>
  <si>
    <t>Giữ nguyên việc tách 2 package trong SRS nhưng sửa lại lý do ghi chú: dùng để dễ test/mock và theo convention nhóm, không ghi là 'bắt buộc theo chuẩn Spring Boot'.</t>
  </si>
  <si>
    <t>Oversimplification</t>
  </si>
  <si>
    <t>Khi được yêu cầu rà soát toàn bộ SQL Commands trong Design Specifications đối chiếu với Database Schema mục 3.1, AI kết luận toàn bộ tên bảng/cột đều nhất quán, không có sai lệch nào.</t>
  </si>
  <si>
    <t>Khi tự đối chiếu thủ công phát hiện ít nhất 4 chỗ lệch tên cột: bookings.time_slot_id (đúng là slot_id), users.status (đúng là account_status), reviews.rating (đúng là rating_score), time_slots.status (đúng là slot_status).</t>
  </si>
  <si>
    <t>Grep thủ công từng tên cột xuất hiện trong SQL Commands và so sánh với bảng mô tả Database Schema mục 3.1 — phát hiện các điểm lệch mà AI đã bỏ sót khi 'xác nhận đã khớp'.</t>
  </si>
  <si>
    <t>Sửa trực tiếp các SQL Command sai tên cột trong Design Specifications; chốt quy tắc luôn tự đối chiếu chéo bằng tay cho các tác vụ rà soát tài liệu dài, không tin tuyệt đối kết luận 'đã khớp' của AI.</t>
  </si>
  <si>
    <t>AI xác nhận hàm GETDATE() dùng để lấy thời gian hiện tại trong SQL Command của mục Add/Edit Venue, Booking Management, Dashboard là hợp lệ, không cảnh báo vấn đề tương thích với PostgreSQL.</t>
  </si>
  <si>
    <t>GETDATE() là hàm độc quyền của Microsoft SQL Server, không tồn tại trong PostgreSQL — hệ thống SportsBook dùng PostgreSQL (đã ghi rõ ở Package Diagram, package #17 Data Access Layer). Chạy GETDATE() trên PostgreSQL sẽ báo lỗi 'function does not exist'.</t>
  </si>
  <si>
    <t>Kiểm tra tài liệu PostgreSQL chính thức về Date/Time Functions — không có GETDATE(); hàm tương đương đúng là NOW() hoặc CURRENT_TIMESTAMP, đúng như đã dùng ở mục Register trước đó.</t>
  </si>
  <si>
    <t>Thay toàn bộ GETDATE() bằng NOW() trong các SQL Command của Add/Edit Venue, Booking Management, Owner/Admin Dashboard, Booking Flow, Booking History để đồng bộ với PostgreSQL.</t>
  </si>
  <si>
    <t>HALLUCINATION TYPES REFERENCE:</t>
  </si>
  <si>
    <t>Type</t>
  </si>
  <si>
    <t>Definition</t>
  </si>
  <si>
    <t>Example</t>
  </si>
  <si>
    <t>AI tạo ra thông tin không tồn tại</t>
  </si>
  <si>
    <t>"GETDATE() dùng được trên PostgreSQL" — sai, đây là hàm SQL Server</t>
  </si>
  <si>
    <t>AI bỏ qua edge cases</t>
  </si>
  <si>
    <t>Kết luận 'toàn bộ SQL đã khớp schema' mà không rà soát kỹ từng cột</t>
  </si>
  <si>
    <t>Logic Error</t>
  </si>
  <si>
    <t>AI đưa kết luận sai về best practice</t>
  </si>
  <si>
    <t>"Tách Interface là bắt buộc theo chuẩn Spring Boot" — không có ràng buộc này</t>
  </si>
  <si>
    <t>Outdated Info</t>
  </si>
  <si>
    <t>AI dùng thông tin cũ</t>
  </si>
  <si>
    <t>Convention đặt tên package đã lỗi thời so với Spring Boot 3.x</t>
  </si>
  <si>
    <t>Context Misunderstanding</t>
  </si>
  <si>
    <t>AI không hiểu đúng bối cảnh</t>
  </si>
  <si>
    <t>Không biết hệ thống dùng PostgreSQL cụ thể khi đề xuất hàm SQL</t>
  </si>
  <si>
    <t>SELF-ASSESSMENT CHECKLIST (Trước khi nộp)</t>
  </si>
  <si>
    <t>Kiểm tra kỹ trước khi nộp. MỖI ENTRY phải pass ≥4/5 tiêu chí dưới đây.</t>
  </si>
  <si>
    <t>A. KIỂM TRA CHẤT LƯỢNG MỖI ENTRY (Pass ≥4/5)</t>
  </si>
  <si>
    <t>#</t>
  </si>
  <si>
    <t>Tiêu chí</t>
  </si>
  <si>
    <t>✅</t>
  </si>
  <si>
    <t>Ghi chú</t>
  </si>
  <si>
    <t>Prompt này ảnh hưởng đến quyết định quan trọng trong project?</t>
  </si>
  <si>
    <t>8/8 entries ảnh hưởng trực tiếp đến Package Diagram và Design Specifications</t>
  </si>
  <si>
    <t>Nếu không có prompt này, project có thay đổi về architecture/design?</t>
  </si>
  <si>
    <t>Entries 1, 2, 4, 6 thay đổi trực tiếp cấu trúc package và SQL Command</t>
  </si>
  <si>
    <t>Tôi có thể giải thích lý do chọn/không chọn gợi ý của AI?</t>
  </si>
  <si>
    <t>Human Delta đầy đủ 4 câu hỏi với reasoning rõ ràng cho mỗi entry</t>
  </si>
  <si>
    <t>Có minh chứng cụ thể (code, metrics, comparison)?</t>
  </si>
  <si>
    <t>8/8 entries có evidence trỏ đúng mục trong SRS</t>
  </si>
  <si>
    <t>Prompt này phản ánh tư duy phản biện, không chỉ copy AI?</t>
  </si>
  <si>
    <t>Entries 2, 4, 5, 6 phát hiện sai sót và sửa lại gợi ý ban đầu của AI</t>
  </si>
  <si>
    <t>B. KIỂM TRA TỔNG THỂ LOG</t>
  </si>
  <si>
    <t>Số lượng entries nằm trong range (min-max)?</t>
  </si>
  <si>
    <t>8 entries — đủ cho Project requirement</t>
  </si>
  <si>
    <t>Mỗi DTC component có ít nhất 1 core prompt?</t>
  </si>
  <si>
    <t>Decomposition ×3, Pattern Recognition ×2, Abstraction ×2, Algorithms ×1</t>
  </si>
  <si>
    <t>Đã phát hiện ≥ số lượng hallucination yêu cầu?</t>
  </si>
  <si>
    <t>3 hallucinations detected (≥3 cho Project)</t>
  </si>
  <si>
    <t>Mỗi entry đều có Human Delta đầy đủ (4 câu hỏi)?</t>
  </si>
  <si>
    <t>Critical Thinking, Contextualization, Creative Synthesis, Decision Ownership — đầy đủ</t>
  </si>
  <si>
    <t>Có evidence cho ≥70% entries?</t>
  </si>
  <si>
    <t>8/8 entries có evidence (100%)</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</si>
  <si>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</si>
  <si>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</si>
  <si>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</si>
  <si>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</si>
  <si>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</si>
  <si>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</si>
  <si>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</si>
  <si>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</si>
  <si>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</si>
  <si>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Có — Gom Package Diagram Backend thành 6 nhóm cấp cao, tách riêng BLL và DAL thay vì gộp chung như AI đề xuất ban đầu</t>
  </si>
  <si>
    <t>Có — AI đề xuất gộp BLL+DAL vào 1 khối 'SportVenue Core', mình tách lại cho rõ kiến trúc 3 lớp</t>
  </si>
  <si>
    <t>SRS mục I.3.2.a — Package Backend Diagram</t>
  </si>
  <si>
    <t>002</t>
  </si>
  <si>
    <t>Có — Giữ tách Interface/Service nhưng sửa lại lý do đúng (convention + dễ test), không dùng lý do sai của AI</t>
  </si>
  <si>
    <t>Có — AI hallucinate rằng đây là 'bắt buộc theo chuẩn Spring Boot', đã kiểm chứng là sai</t>
  </si>
  <si>
    <t>SRS mục I.3.2.a — package #12, #13</t>
  </si>
  <si>
    <t>004</t>
  </si>
  <si>
    <t>Có — Sửa SQL Owner Dashboard dùng đúng tên cột theo schema (booking_id, slot_id, payment_status) thay vì tên AI suy đoán</t>
  </si>
  <si>
    <t>Có — AI viết SQL đúng cú pháp PostgreSQL nhưng sai tên cột so với schema thực tế</t>
  </si>
  <si>
    <t>SRS mục III.3.3 — SQL Commands Owner Dashboard</t>
  </si>
  <si>
    <t>005</t>
  </si>
  <si>
    <t>Có — Tự rà soát thủ công phát hiện 4 chỗ lệch tên cột mà AI bỏ sót khi nói 'đã khớp toàn bộ'</t>
  </si>
  <si>
    <t>Có — AI kết luận sai là không có sai lệch nào, mình grep thủ công để kiểm chứng</t>
  </si>
  <si>
    <t>SRS mục III.5.1, 5.2 — Booking Flow, Booking History</t>
  </si>
  <si>
    <t>006</t>
  </si>
  <si>
    <t>Có — Thay toàn bộ GETDATE() bằng NOW() để tương thích PostgreSQL đúng như Package Diagram đã ghi</t>
  </si>
  <si>
    <t>Có — AI xác nhận sai rằng GETDATE() dùng được, đây là hàm SQL Server không tồn tại trên PostgreSQL</t>
  </si>
  <si>
    <t>SRS mục III.3.1, 4.1, 4.2, 5.1 — SQL Commands đã sửa</t>
  </si>
  <si>
    <t>Hệ thống Quản lý và Cho thuê Sân thể thao (SportsBook)</t>
  </si>
  <si>
    <t xml:space="preserve">SWP391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</si>
</sst>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rgb="FF2E75B6"/>
      <name val="Arial"/>
    </font>
    <font>
      <b/>
      <sz val="14"/>
      <color rgb="FF2E75B6"/>
      <name val="Arial"/>
    </font>
    <font>
      <b/>
      <sz val="11"/>
      <name val="Arial"/>
    </font>
    <font>
      <sz val="11"/>
      <name val="Calibri"/>
    </font>
    <font>
      <b/>
      <sz val="11"/>
      <color rgb="FFFFFFFF"/>
      <name val="Arial"/>
    </font>
    <font>
      <i/>
      <sz val="10"/>
      <name val="Arial"/>
    </font>
    <font>
      <b/>
      <sz val="16"/>
      <color rgb="FFFF0000"/>
      <name val="Arial"/>
    </font>
    <font>
      <b/>
      <sz val="12"/>
      <color rgb="FF2E75B6"/>
      <name val="Arial"/>
    </font>
    <font>
      <b/>
      <sz val="11"/>
      <color rgb="FFFF0000"/>
      <name val="Arial"/>
    </font>
  </fonts>
  <fills count="3">
    <fill>
      <patternFill patternType="none"/>
    </fill>
    <fill>
      <patternFill patternType="gray125"/>
    </fill>
    <fill>
      <patternFill patternType="solid">
        <fgColor rgb="FF2E75B6"/>
        <bgColor rgb="FF2E75B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
    <xf numFmtId="0" fontId="0" fillId="0" borderId="0" xfId="0"/>
    <xf numFmtId="0" fontId="2" fillId="0" borderId="0" xfId="0" applyFont="1"/>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8" fillId="0" borderId="0" xfId="0" applyFont="1"/>
    <xf numFmtId="0" fontId="9" fillId="0" borderId="0" xfId="0" applyFont="1"/>
    <xf numFmtId="0" fontId="6" fillId="0" borderId="0" xfId="0" applyFont="1"/>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7"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opLeftCell="A12" workbookViewId="0">
      <selection activeCell="C8" sqref="C8"/>
    </sheetView>
  </sheetViews>
  <sheetFormatPr defaultRowHeight="14.5" x14ac:dyDescent="0.35"/>
  <cols>
    <col min="1" max="1" width="28" customWidth="1"/>
    <col min="2" max="2" width="40" customWidth="1"/>
    <col min="3" max="3" width="18" customWidth="1"/>
    <col min="4" max="4" width="46" customWidth="1"/>
    <col min="5" max="5" width="20" customWidth="1"/>
  </cols>
  <sheetData>
    <row r="1" spans="1:5" x14ac:dyDescent="0.35">
      <c r="A1" s="9" t="s">
        <v>0</v>
      </c>
      <c r="B1" s="10"/>
      <c r="C1" s="10"/>
      <c r="D1" s="10"/>
      <c r="E1" s="10"/>
    </row>
    <row r="3" spans="1:5" ht="18" x14ac:dyDescent="0.4">
      <c r="A3" s="1" t="s">
        <v>1</v>
      </c>
    </row>
    <row r="4" spans="1:5" x14ac:dyDescent="0.35">
      <c r="A4" s="2" t="s">
        <v>2</v>
      </c>
      <c r="C4" s="3" t="s">
        <v>3</v>
      </c>
    </row>
    <row r="5" spans="1:5" x14ac:dyDescent="0.35">
      <c r="A5" s="2" t="s">
        <v>4</v>
      </c>
      <c r="C5" s="3" t="s">
        <v>5</v>
      </c>
    </row>
    <row r="6" spans="1:5" x14ac:dyDescent="0.35">
      <c r="A6" s="2" t="s">
        <v>6</v>
      </c>
      <c r="C6" s="3" t="s">
        <v>193</v>
      </c>
    </row>
    <row r="7" spans="1:5" x14ac:dyDescent="0.35">
      <c r="A7" s="2" t="s">
        <v>7</v>
      </c>
      <c r="C7" s="3" t="s">
        <v>192</v>
      </c>
    </row>
    <row r="8" spans="1:5" x14ac:dyDescent="0.35">
      <c r="A8" s="2"/>
      <c r="C8" s="3"/>
    </row>
    <row r="10" spans="1:5" ht="18" x14ac:dyDescent="0.4">
      <c r="A10" s="1" t="s">
        <v>8</v>
      </c>
    </row>
    <row r="11" spans="1:5" x14ac:dyDescent="0.35">
      <c r="A11" s="2" t="s">
        <v>9</v>
      </c>
      <c r="C11">
        <v>21</v>
      </c>
    </row>
    <row r="12" spans="1:5" x14ac:dyDescent="0.35">
      <c r="A12" s="2" t="s">
        <v>10</v>
      </c>
      <c r="C12">
        <v>8</v>
      </c>
    </row>
    <row r="13" spans="1:5" x14ac:dyDescent="0.35">
      <c r="A13" s="2" t="s">
        <v>11</v>
      </c>
      <c r="C13">
        <f>C12/C11</f>
        <v>0.38095238095238093</v>
      </c>
    </row>
    <row r="14" spans="1:5" x14ac:dyDescent="0.35">
      <c r="A14" s="2" t="s">
        <v>12</v>
      </c>
      <c r="C14">
        <v>3</v>
      </c>
    </row>
    <row r="16" spans="1:5" ht="18" x14ac:dyDescent="0.4">
      <c r="A16" s="1" t="s">
        <v>13</v>
      </c>
    </row>
    <row r="17" spans="1:4" x14ac:dyDescent="0.35">
      <c r="A17" s="4" t="s">
        <v>14</v>
      </c>
      <c r="B17" s="4" t="s">
        <v>15</v>
      </c>
      <c r="C17" s="4" t="s">
        <v>16</v>
      </c>
      <c r="D17" s="4" t="s">
        <v>17</v>
      </c>
    </row>
    <row r="18" spans="1:4" ht="87" x14ac:dyDescent="0.35">
      <c r="A18" s="5" t="s">
        <v>18</v>
      </c>
      <c r="B18" s="5" t="s">
        <v>19</v>
      </c>
      <c r="C18" s="5" t="s">
        <v>20</v>
      </c>
      <c r="D18" s="5" t="s">
        <v>21</v>
      </c>
    </row>
    <row r="19" spans="1:4" ht="58" x14ac:dyDescent="0.35">
      <c r="A19" s="5" t="s">
        <v>22</v>
      </c>
      <c r="B19" s="5" t="s">
        <v>23</v>
      </c>
      <c r="C19" s="5" t="s">
        <v>24</v>
      </c>
      <c r="D19" s="5" t="s">
        <v>25</v>
      </c>
    </row>
    <row r="21" spans="1:4" ht="18" x14ac:dyDescent="0.4">
      <c r="A21" s="1" t="s">
        <v>26</v>
      </c>
    </row>
    <row r="22" spans="1:4" x14ac:dyDescent="0.35">
      <c r="A22" s="4" t="s">
        <v>27</v>
      </c>
      <c r="B22" s="4" t="s">
        <v>28</v>
      </c>
      <c r="C22" s="4" t="s">
        <v>29</v>
      </c>
      <c r="D22" s="4" t="s">
        <v>30</v>
      </c>
    </row>
    <row r="23" spans="1:4" x14ac:dyDescent="0.35">
      <c r="A23" s="5" t="s">
        <v>31</v>
      </c>
      <c r="B23" s="5">
        <v>3</v>
      </c>
      <c r="C23" s="5">
        <v>2</v>
      </c>
      <c r="D23" s="5" t="s">
        <v>32</v>
      </c>
    </row>
    <row r="24" spans="1:4" x14ac:dyDescent="0.35">
      <c r="A24" s="5" t="s">
        <v>33</v>
      </c>
      <c r="B24" s="5">
        <v>2</v>
      </c>
      <c r="C24" s="5">
        <v>2</v>
      </c>
      <c r="D24" s="5" t="s">
        <v>32</v>
      </c>
    </row>
    <row r="25" spans="1:4" x14ac:dyDescent="0.35">
      <c r="A25" s="5" t="s">
        <v>34</v>
      </c>
      <c r="B25" s="5">
        <v>2</v>
      </c>
      <c r="C25" s="5">
        <v>2</v>
      </c>
      <c r="D25" s="5" t="s">
        <v>32</v>
      </c>
    </row>
    <row r="26" spans="1:4" x14ac:dyDescent="0.35">
      <c r="A26" s="5" t="s">
        <v>35</v>
      </c>
      <c r="B26" s="5">
        <v>1</v>
      </c>
      <c r="C26" s="5">
        <v>1</v>
      </c>
      <c r="D26" s="5" t="s">
        <v>32</v>
      </c>
    </row>
  </sheetData>
  <mergeCells count="1">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
  <sheetViews>
    <sheetView tabSelected="1" topLeftCell="D1" workbookViewId="0">
      <selection activeCell="D5" sqref="D5"/>
    </sheetView>
  </sheetViews>
  <sheetFormatPr defaultRowHeight="14.5" x14ac:dyDescent="0.35"/>
  <cols>
    <col min="1" max="1" width="8" customWidth="1"/>
    <col min="2" max="2" width="16" customWidth="1"/>
    <col min="3" max="3" width="26" customWidth="1"/>
    <col min="4" max="4" width="32" customWidth="1"/>
    <col min="5" max="5" width="34" customWidth="1"/>
    <col min="6" max="6" width="36" customWidth="1"/>
    <col min="7" max="7" width="52" customWidth="1"/>
    <col min="8" max="8" width="26" customWidth="1"/>
  </cols>
  <sheetData>
    <row r="1" spans="1:8" x14ac:dyDescent="0.35">
      <c r="A1" s="9" t="s">
        <v>36</v>
      </c>
      <c r="B1" s="10"/>
      <c r="C1" s="10"/>
      <c r="D1" s="10"/>
      <c r="E1" s="10"/>
      <c r="F1" s="10"/>
      <c r="G1" s="10"/>
      <c r="H1" s="10"/>
    </row>
    <row r="2" spans="1:8" x14ac:dyDescent="0.35">
      <c r="A2" s="11" t="s">
        <v>37</v>
      </c>
      <c r="B2" s="10"/>
      <c r="C2" s="10"/>
      <c r="D2" s="10"/>
      <c r="E2" s="10"/>
      <c r="F2" s="10"/>
      <c r="G2" s="10"/>
      <c r="H2" s="10"/>
    </row>
    <row r="3" spans="1:8" x14ac:dyDescent="0.35">
      <c r="A3" s="4" t="s">
        <v>38</v>
      </c>
      <c r="B3" s="4" t="s">
        <v>39</v>
      </c>
      <c r="C3" s="4" t="s">
        <v>40</v>
      </c>
      <c r="D3" s="4" t="s">
        <v>41</v>
      </c>
      <c r="E3" s="4" t="s">
        <v>42</v>
      </c>
      <c r="F3" s="4" t="s">
        <v>43</v>
      </c>
      <c r="G3" s="4" t="s">
        <v>44</v>
      </c>
      <c r="H3" s="4" t="s">
        <v>45</v>
      </c>
    </row>
    <row r="5" spans="1:8" ht="249.5" customHeight="1" x14ac:dyDescent="0.35">
      <c r="A5" s="5">
        <v>1</v>
      </c>
      <c r="B5" s="5" t="s">
        <v>46</v>
      </c>
      <c r="C5" s="5" t="s">
        <v>47</v>
      </c>
      <c r="D5" s="5" t="s">
        <v>48</v>
      </c>
      <c r="E5" s="5" t="s">
        <v>49</v>
      </c>
      <c r="F5" s="5" t="s">
        <v>50</v>
      </c>
      <c r="G5" s="5" t="s">
        <v>51</v>
      </c>
      <c r="H5" s="5" t="s">
        <v>52</v>
      </c>
    </row>
    <row r="6" spans="1:8" ht="275.5" customHeight="1" x14ac:dyDescent="0.35">
      <c r="A6" s="5">
        <v>2</v>
      </c>
      <c r="B6" s="5" t="s">
        <v>53</v>
      </c>
      <c r="C6" s="5" t="s">
        <v>54</v>
      </c>
      <c r="D6" s="5" t="s">
        <v>55</v>
      </c>
      <c r="E6" s="5" t="s">
        <v>56</v>
      </c>
      <c r="F6" s="5" t="s">
        <v>57</v>
      </c>
      <c r="G6" s="5" t="s">
        <v>58</v>
      </c>
      <c r="H6" s="5" t="s">
        <v>59</v>
      </c>
    </row>
    <row r="7" spans="1:8" ht="213" customHeight="1" x14ac:dyDescent="0.35">
      <c r="A7" s="5">
        <v>3</v>
      </c>
      <c r="B7" s="5" t="s">
        <v>60</v>
      </c>
      <c r="C7" s="5" t="s">
        <v>61</v>
      </c>
      <c r="D7" s="5" t="s">
        <v>62</v>
      </c>
      <c r="E7" s="5" t="s">
        <v>63</v>
      </c>
      <c r="F7" s="5" t="s">
        <v>64</v>
      </c>
      <c r="G7" s="5" t="s">
        <v>65</v>
      </c>
      <c r="H7" s="5" t="s">
        <v>66</v>
      </c>
    </row>
    <row r="8" spans="1:8" ht="304" customHeight="1" x14ac:dyDescent="0.35">
      <c r="A8" s="5">
        <v>4</v>
      </c>
      <c r="B8" s="5" t="s">
        <v>46</v>
      </c>
      <c r="C8" s="5" t="s">
        <v>67</v>
      </c>
      <c r="D8" s="5" t="s">
        <v>68</v>
      </c>
      <c r="E8" s="5" t="s">
        <v>69</v>
      </c>
      <c r="F8" s="5" t="s">
        <v>70</v>
      </c>
      <c r="G8" s="5" t="s">
        <v>71</v>
      </c>
      <c r="H8" s="5" t="s">
        <v>72</v>
      </c>
    </row>
    <row r="9" spans="1:8" ht="289.5" customHeight="1" x14ac:dyDescent="0.35">
      <c r="A9" s="5">
        <v>5</v>
      </c>
      <c r="B9" s="5" t="s">
        <v>60</v>
      </c>
      <c r="C9" s="5" t="s">
        <v>73</v>
      </c>
      <c r="D9" s="5" t="s">
        <v>74</v>
      </c>
      <c r="E9" s="5" t="s">
        <v>75</v>
      </c>
      <c r="F9" s="5" t="s">
        <v>76</v>
      </c>
      <c r="G9" s="5" t="s">
        <v>77</v>
      </c>
      <c r="H9" s="5" t="s">
        <v>78</v>
      </c>
    </row>
    <row r="10" spans="1:8" ht="295" customHeight="1" x14ac:dyDescent="0.35">
      <c r="A10" s="5">
        <v>6</v>
      </c>
      <c r="B10" s="5" t="s">
        <v>60</v>
      </c>
      <c r="C10" s="5" t="s">
        <v>79</v>
      </c>
      <c r="D10" s="5" t="s">
        <v>80</v>
      </c>
      <c r="E10" s="5" t="s">
        <v>81</v>
      </c>
      <c r="F10" s="5" t="s">
        <v>82</v>
      </c>
      <c r="G10" s="5" t="s">
        <v>83</v>
      </c>
      <c r="H10" s="5" t="s">
        <v>84</v>
      </c>
    </row>
    <row r="11" spans="1:8" ht="253.5" customHeight="1" x14ac:dyDescent="0.35">
      <c r="A11" s="5">
        <v>7</v>
      </c>
      <c r="B11" s="5" t="s">
        <v>46</v>
      </c>
      <c r="C11" s="5" t="s">
        <v>85</v>
      </c>
      <c r="D11" s="5" t="s">
        <v>86</v>
      </c>
      <c r="E11" s="5" t="s">
        <v>87</v>
      </c>
      <c r="F11" s="5" t="s">
        <v>88</v>
      </c>
      <c r="G11" s="5" t="s">
        <v>89</v>
      </c>
      <c r="H11" s="5" t="s">
        <v>90</v>
      </c>
    </row>
    <row r="12" spans="1:8" ht="236.5" customHeight="1" x14ac:dyDescent="0.35">
      <c r="A12" s="5">
        <v>8</v>
      </c>
      <c r="B12" s="5" t="s">
        <v>53</v>
      </c>
      <c r="C12" s="5" t="s">
        <v>91</v>
      </c>
      <c r="D12" s="5" t="s">
        <v>92</v>
      </c>
      <c r="E12" s="5" t="s">
        <v>93</v>
      </c>
      <c r="F12" s="5" t="s">
        <v>94</v>
      </c>
      <c r="G12" s="5" t="s">
        <v>95</v>
      </c>
      <c r="H12" s="5" t="s">
        <v>96</v>
      </c>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workbookViewId="0">
      <selection sqref="A1:F1"/>
    </sheetView>
  </sheetViews>
  <sheetFormatPr defaultRowHeight="14.5" x14ac:dyDescent="0.35"/>
  <cols>
    <col min="1" max="1" width="12" customWidth="1"/>
    <col min="2" max="2" width="22" customWidth="1"/>
    <col min="3" max="6" width="34" customWidth="1"/>
  </cols>
  <sheetData>
    <row r="1" spans="1:6" x14ac:dyDescent="0.35">
      <c r="A1" s="12" t="s">
        <v>97</v>
      </c>
      <c r="B1" s="10"/>
      <c r="C1" s="10"/>
      <c r="D1" s="10"/>
      <c r="E1" s="10"/>
      <c r="F1" s="10"/>
    </row>
    <row r="2" spans="1:6" x14ac:dyDescent="0.35">
      <c r="A2" s="11" t="s">
        <v>98</v>
      </c>
      <c r="B2" s="10"/>
      <c r="C2" s="10"/>
      <c r="D2" s="10"/>
      <c r="E2" s="10"/>
      <c r="F2" s="10"/>
    </row>
    <row r="3" spans="1:6" ht="42" x14ac:dyDescent="0.35">
      <c r="A3" s="4" t="s">
        <v>99</v>
      </c>
      <c r="B3" s="4" t="s">
        <v>100</v>
      </c>
      <c r="C3" s="4" t="s">
        <v>101</v>
      </c>
      <c r="D3" s="4" t="s">
        <v>102</v>
      </c>
      <c r="E3" s="4" t="s">
        <v>103</v>
      </c>
      <c r="F3" s="4" t="s">
        <v>104</v>
      </c>
    </row>
    <row r="5" spans="1:6" ht="60" customHeight="1" x14ac:dyDescent="0.35">
      <c r="A5" s="5">
        <v>2</v>
      </c>
      <c r="B5" s="5" t="s">
        <v>105</v>
      </c>
      <c r="C5" s="5" t="s">
        <v>106</v>
      </c>
      <c r="D5" s="5" t="s">
        <v>107</v>
      </c>
      <c r="E5" s="5" t="s">
        <v>108</v>
      </c>
      <c r="F5" s="5" t="s">
        <v>109</v>
      </c>
    </row>
    <row r="6" spans="1:6" ht="60" customHeight="1" x14ac:dyDescent="0.35">
      <c r="A6" s="5">
        <v>5</v>
      </c>
      <c r="B6" s="5" t="s">
        <v>110</v>
      </c>
      <c r="C6" s="5" t="s">
        <v>111</v>
      </c>
      <c r="D6" s="5" t="s">
        <v>112</v>
      </c>
      <c r="E6" s="5" t="s">
        <v>113</v>
      </c>
      <c r="F6" s="5" t="s">
        <v>114</v>
      </c>
    </row>
    <row r="7" spans="1:6" ht="60" customHeight="1" x14ac:dyDescent="0.35">
      <c r="A7" s="5">
        <v>6</v>
      </c>
      <c r="B7" s="5" t="s">
        <v>105</v>
      </c>
      <c r="C7" s="5" t="s">
        <v>115</v>
      </c>
      <c r="D7" s="5" t="s">
        <v>116</v>
      </c>
      <c r="E7" s="5" t="s">
        <v>117</v>
      </c>
      <c r="F7" s="5" t="s">
        <v>118</v>
      </c>
    </row>
    <row r="9" spans="1:6" ht="15.5" x14ac:dyDescent="0.35">
      <c r="A9" s="6" t="s">
        <v>119</v>
      </c>
    </row>
    <row r="10" spans="1:6" x14ac:dyDescent="0.35">
      <c r="A10" s="4" t="s">
        <v>120</v>
      </c>
      <c r="B10" s="4" t="s">
        <v>121</v>
      </c>
      <c r="C10" s="4" t="s">
        <v>122</v>
      </c>
      <c r="D10" s="10"/>
      <c r="E10" s="10"/>
      <c r="F10" s="10"/>
    </row>
    <row r="11" spans="1:6" ht="43.5" x14ac:dyDescent="0.35">
      <c r="A11" s="5" t="s">
        <v>105</v>
      </c>
      <c r="B11" s="5" t="s">
        <v>123</v>
      </c>
      <c r="C11" s="5" t="s">
        <v>124</v>
      </c>
    </row>
    <row r="12" spans="1:6" ht="29" x14ac:dyDescent="0.35">
      <c r="A12" s="5" t="s">
        <v>110</v>
      </c>
      <c r="B12" s="5" t="s">
        <v>125</v>
      </c>
      <c r="C12" s="5" t="s">
        <v>126</v>
      </c>
    </row>
    <row r="13" spans="1:6" ht="43.5" x14ac:dyDescent="0.35">
      <c r="A13" s="5" t="s">
        <v>127</v>
      </c>
      <c r="B13" s="5" t="s">
        <v>128</v>
      </c>
      <c r="C13" s="5" t="s">
        <v>129</v>
      </c>
    </row>
    <row r="14" spans="1:6" ht="29" x14ac:dyDescent="0.35">
      <c r="A14" s="5" t="s">
        <v>130</v>
      </c>
      <c r="B14" s="5" t="s">
        <v>131</v>
      </c>
      <c r="C14" s="5" t="s">
        <v>132</v>
      </c>
    </row>
    <row r="15" spans="1:6" ht="43.5" x14ac:dyDescent="0.35">
      <c r="A15" s="5" t="s">
        <v>133</v>
      </c>
      <c r="B15" s="5" t="s">
        <v>134</v>
      </c>
      <c r="C15" s="5" t="s">
        <v>135</v>
      </c>
    </row>
  </sheetData>
  <mergeCells count="3">
    <mergeCell ref="A2:F2"/>
    <mergeCell ref="A1:F1"/>
    <mergeCell ref="D10:F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1"/>
  <sheetViews>
    <sheetView topLeftCell="A27" workbookViewId="0">
      <selection activeCell="C15" sqref="C15"/>
    </sheetView>
  </sheetViews>
  <sheetFormatPr defaultRowHeight="14.5" x14ac:dyDescent="0.35"/>
  <cols>
    <col min="1" max="1" width="8" customWidth="1"/>
    <col min="2" max="2" width="60" customWidth="1"/>
    <col min="3" max="3" width="10" customWidth="1"/>
    <col min="4" max="4" width="34" customWidth="1"/>
  </cols>
  <sheetData>
    <row r="1" spans="1:4" x14ac:dyDescent="0.35">
      <c r="A1" s="9" t="s">
        <v>136</v>
      </c>
      <c r="B1" s="10"/>
      <c r="C1" s="10"/>
      <c r="D1" s="10"/>
    </row>
    <row r="2" spans="1:4" x14ac:dyDescent="0.35">
      <c r="A2" s="11" t="s">
        <v>137</v>
      </c>
      <c r="B2" s="10"/>
      <c r="C2" s="10"/>
      <c r="D2" s="10"/>
    </row>
    <row r="4" spans="1:4" ht="15.5" x14ac:dyDescent="0.35">
      <c r="A4" s="6" t="s">
        <v>138</v>
      </c>
    </row>
    <row r="5" spans="1:4" x14ac:dyDescent="0.35">
      <c r="A5" s="4" t="s">
        <v>139</v>
      </c>
      <c r="B5" s="4" t="s">
        <v>140</v>
      </c>
      <c r="C5" s="4" t="s">
        <v>141</v>
      </c>
      <c r="D5" s="4" t="s">
        <v>142</v>
      </c>
    </row>
    <row r="6" spans="1:4" ht="43.5" x14ac:dyDescent="0.35">
      <c r="A6" s="5">
        <v>1</v>
      </c>
      <c r="B6" s="5" t="s">
        <v>143</v>
      </c>
      <c r="C6" s="5" t="s">
        <v>141</v>
      </c>
      <c r="D6" s="5" t="s">
        <v>144</v>
      </c>
    </row>
    <row r="7" spans="1:4" ht="29" x14ac:dyDescent="0.35">
      <c r="A7" s="5">
        <v>2</v>
      </c>
      <c r="B7" s="5" t="s">
        <v>145</v>
      </c>
      <c r="C7" s="5" t="s">
        <v>141</v>
      </c>
      <c r="D7" s="5" t="s">
        <v>146</v>
      </c>
    </row>
    <row r="8" spans="1:4" ht="29" x14ac:dyDescent="0.35">
      <c r="A8" s="5">
        <v>3</v>
      </c>
      <c r="B8" s="5" t="s">
        <v>147</v>
      </c>
      <c r="C8" s="5" t="s">
        <v>141</v>
      </c>
      <c r="D8" s="5" t="s">
        <v>148</v>
      </c>
    </row>
    <row r="9" spans="1:4" ht="29" x14ac:dyDescent="0.35">
      <c r="A9" s="5">
        <v>4</v>
      </c>
      <c r="B9" s="5" t="s">
        <v>149</v>
      </c>
      <c r="C9" s="5" t="s">
        <v>141</v>
      </c>
      <c r="D9" s="5" t="s">
        <v>150</v>
      </c>
    </row>
    <row r="10" spans="1:4" ht="29" x14ac:dyDescent="0.35">
      <c r="A10" s="5">
        <v>5</v>
      </c>
      <c r="B10" s="5" t="s">
        <v>151</v>
      </c>
      <c r="C10" s="5" t="s">
        <v>141</v>
      </c>
      <c r="D10" s="5" t="s">
        <v>152</v>
      </c>
    </row>
    <row r="12" spans="1:4" ht="15.5" x14ac:dyDescent="0.35">
      <c r="A12" s="6" t="s">
        <v>153</v>
      </c>
    </row>
    <row r="13" spans="1:4" x14ac:dyDescent="0.35">
      <c r="A13" s="4" t="s">
        <v>139</v>
      </c>
      <c r="B13" s="4" t="s">
        <v>140</v>
      </c>
      <c r="C13" s="4" t="s">
        <v>141</v>
      </c>
      <c r="D13" s="4" t="s">
        <v>142</v>
      </c>
    </row>
    <row r="14" spans="1:4" x14ac:dyDescent="0.35">
      <c r="A14" s="5">
        <v>1</v>
      </c>
      <c r="B14" s="5" t="s">
        <v>154</v>
      </c>
      <c r="C14" s="5" t="s">
        <v>141</v>
      </c>
      <c r="D14" s="5" t="s">
        <v>155</v>
      </c>
    </row>
    <row r="15" spans="1:4" ht="29" x14ac:dyDescent="0.35">
      <c r="A15" s="5">
        <v>2</v>
      </c>
      <c r="B15" s="5" t="s">
        <v>156</v>
      </c>
      <c r="C15" s="5" t="s">
        <v>141</v>
      </c>
      <c r="D15" s="5" t="s">
        <v>157</v>
      </c>
    </row>
    <row r="16" spans="1:4" ht="29" x14ac:dyDescent="0.35">
      <c r="A16" s="5">
        <v>3</v>
      </c>
      <c r="B16" s="5" t="s">
        <v>158</v>
      </c>
      <c r="C16" s="5" t="s">
        <v>141</v>
      </c>
      <c r="D16" s="5" t="s">
        <v>159</v>
      </c>
    </row>
    <row r="17" spans="1:4" ht="43.5" x14ac:dyDescent="0.35">
      <c r="A17" s="5">
        <v>4</v>
      </c>
      <c r="B17" s="5" t="s">
        <v>160</v>
      </c>
      <c r="C17" s="5" t="s">
        <v>141</v>
      </c>
      <c r="D17" s="5" t="s">
        <v>161</v>
      </c>
    </row>
    <row r="18" spans="1:4" x14ac:dyDescent="0.35">
      <c r="A18" s="5">
        <v>5</v>
      </c>
      <c r="B18" s="5" t="s">
        <v>162</v>
      </c>
      <c r="C18" s="5" t="s">
        <v>141</v>
      </c>
      <c r="D18" s="5" t="s">
        <v>163</v>
      </c>
    </row>
    <row r="20" spans="1:4" x14ac:dyDescent="0.35">
      <c r="A20" s="7" t="s">
        <v>164</v>
      </c>
    </row>
    <row r="21" spans="1:4" x14ac:dyDescent="0.35">
      <c r="A21" s="3" t="s">
        <v>165</v>
      </c>
    </row>
    <row r="22" spans="1:4" x14ac:dyDescent="0.35">
      <c r="A22" s="3" t="s">
        <v>166</v>
      </c>
    </row>
    <row r="24" spans="1:4" ht="15.5" x14ac:dyDescent="0.35">
      <c r="A24" s="6" t="s">
        <v>167</v>
      </c>
    </row>
    <row r="25" spans="1:4" x14ac:dyDescent="0.35">
      <c r="A25" s="8" t="s">
        <v>168</v>
      </c>
    </row>
    <row r="26" spans="1:4" ht="56" x14ac:dyDescent="0.35">
      <c r="A26" s="4" t="s">
        <v>38</v>
      </c>
      <c r="B26" s="4" t="s">
        <v>169</v>
      </c>
      <c r="C26" s="4" t="s">
        <v>170</v>
      </c>
      <c r="D26" s="4" t="s">
        <v>171</v>
      </c>
    </row>
    <row r="27" spans="1:4" ht="45" customHeight="1" x14ac:dyDescent="0.35">
      <c r="A27" s="5" t="s">
        <v>172</v>
      </c>
      <c r="B27" s="5" t="s">
        <v>173</v>
      </c>
      <c r="C27" s="5" t="s">
        <v>174</v>
      </c>
      <c r="D27" s="5" t="s">
        <v>175</v>
      </c>
    </row>
    <row r="28" spans="1:4" ht="45" customHeight="1" x14ac:dyDescent="0.35">
      <c r="A28" s="5" t="s">
        <v>176</v>
      </c>
      <c r="B28" s="5" t="s">
        <v>177</v>
      </c>
      <c r="C28" s="5" t="s">
        <v>178</v>
      </c>
      <c r="D28" s="5" t="s">
        <v>179</v>
      </c>
    </row>
    <row r="29" spans="1:4" ht="45" customHeight="1" x14ac:dyDescent="0.35">
      <c r="A29" s="5" t="s">
        <v>180</v>
      </c>
      <c r="B29" s="5" t="s">
        <v>181</v>
      </c>
      <c r="C29" s="5" t="s">
        <v>182</v>
      </c>
      <c r="D29" s="5" t="s">
        <v>183</v>
      </c>
    </row>
    <row r="30" spans="1:4" ht="45" customHeight="1" x14ac:dyDescent="0.35">
      <c r="A30" s="5" t="s">
        <v>184</v>
      </c>
      <c r="B30" s="5" t="s">
        <v>185</v>
      </c>
      <c r="C30" s="5" t="s">
        <v>186</v>
      </c>
      <c r="D30" s="5" t="s">
        <v>187</v>
      </c>
    </row>
    <row r="31" spans="1:4" ht="45" customHeight="1" x14ac:dyDescent="0.35">
      <c r="A31" s="5" t="s">
        <v>188</v>
      </c>
      <c r="B31" s="5" t="s">
        <v>189</v>
      </c>
      <c r="C31" s="5" t="s">
        <v>190</v>
      </c>
      <c r="D31" s="5" t="s">
        <v>191</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hothihongthuy2@gmail.com</cp:lastModifiedBy>
  <dcterms:created xsi:type="dcterms:W3CDTF">2026-07-05T09:47:40Z</dcterms:created>
  <dcterms:modified xsi:type="dcterms:W3CDTF">2026-07-05T09:54:21Z</dcterms:modified>
</cp:coreProperties>
</file>